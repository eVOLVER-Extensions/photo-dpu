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itas/HMS Dropbox/Elizabeth Hann/eVOLVER/dpu/experiment/250519_Bcarotene_campaignB/"/>
    </mc:Choice>
  </mc:AlternateContent>
  <xr:revisionPtr revIDLastSave="0" documentId="13_ncr:1_{15336AF3-B421-8148-886D-7864F02363C0}" xr6:coauthVersionLast="47" xr6:coauthVersionMax="47" xr10:uidLastSave="{00000000-0000-0000-0000-000000000000}"/>
  <bookViews>
    <workbookView xWindow="780" yWindow="1000" windowWidth="27640" windowHeight="15240" xr2:uid="{4F9A8959-88B9-444C-AAC3-E831F26EC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4" i="1"/>
  <c r="D7" i="1" s="1"/>
  <c r="D9" i="1" s="1"/>
  <c r="D10" i="1" s="1"/>
  <c r="C4" i="1"/>
  <c r="C7" i="1" s="1"/>
  <c r="C9" i="1" s="1"/>
  <c r="C10" i="1" s="1"/>
  <c r="B4" i="1"/>
  <c r="B7" i="1" s="1"/>
  <c r="B9" i="1" s="1"/>
</calcChain>
</file>

<file path=xl/sharedStrings.xml><?xml version="1.0" encoding="utf-8"?>
<sst xmlns="http://schemas.openxmlformats.org/spreadsheetml/2006/main" count="13" uniqueCount="13">
  <si>
    <t>Dilution</t>
  </si>
  <si>
    <t>Measured OD</t>
  </si>
  <si>
    <t>Stock OD</t>
  </si>
  <si>
    <t>Final desired OD</t>
  </si>
  <si>
    <t>Vial volume (mL)</t>
  </si>
  <si>
    <t>mL to add</t>
  </si>
  <si>
    <t>uL to add of stock</t>
  </si>
  <si>
    <t>Cells</t>
  </si>
  <si>
    <t>B-carotene (370)</t>
  </si>
  <si>
    <t>Manual Passage (A05 282)</t>
  </si>
  <si>
    <t>WT (306)</t>
  </si>
  <si>
    <t>If &gt;1000uL divide by 2</t>
  </si>
  <si>
    <t>Note: 370 was concentrated from a stock OD of 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</si>
</sst>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A1F7-417D-A047-92C3-3D4837849959}">
  <dimension ref="A1:E10"/>
  <sheetViews>
    <sheetView tabSelected="1" workbookViewId="0">
      <selection activeCell="E7" sqref="E7"/>
    </sheetView>
  </sheetViews>
  <sheetFormatPr baseColWidth="10" defaultRowHeight="16" x14ac:dyDescent="0.2"/>
  <cols>
    <col min="1" max="1" width="18.5" bestFit="1" customWidth="1"/>
    <col min="2" max="2" width="14.6640625" bestFit="1" customWidth="1"/>
    <col min="3" max="3" width="22.33203125" bestFit="1" customWidth="1"/>
    <col min="4" max="4" width="15" bestFit="1" customWidth="1"/>
  </cols>
  <sheetData>
    <row r="1" spans="1:5" x14ac:dyDescent="0.2">
      <c r="A1" s="4" t="s">
        <v>7</v>
      </c>
      <c r="B1" s="4" t="s">
        <v>10</v>
      </c>
      <c r="C1" s="4" t="s">
        <v>9</v>
      </c>
      <c r="D1" s="4" t="s">
        <v>8</v>
      </c>
    </row>
    <row r="2" spans="1:5" x14ac:dyDescent="0.2">
      <c r="A2" t="s">
        <v>0</v>
      </c>
      <c r="B2">
        <v>10</v>
      </c>
      <c r="C2">
        <v>10</v>
      </c>
      <c r="D2">
        <v>10</v>
      </c>
    </row>
    <row r="3" spans="1:5" x14ac:dyDescent="0.2">
      <c r="A3" t="s">
        <v>1</v>
      </c>
      <c r="B3">
        <v>0.47</v>
      </c>
      <c r="C3">
        <v>0.33500000000000002</v>
      </c>
      <c r="D3">
        <v>0.61</v>
      </c>
    </row>
    <row r="4" spans="1:5" x14ac:dyDescent="0.2">
      <c r="A4" s="1" t="s">
        <v>2</v>
      </c>
      <c r="B4" s="1">
        <f>B2*B3</f>
        <v>4.6999999999999993</v>
      </c>
      <c r="C4" s="1">
        <f t="shared" ref="C4:D4" si="0">C2*C3</f>
        <v>3.35</v>
      </c>
      <c r="D4" s="1">
        <f t="shared" si="0"/>
        <v>6.1</v>
      </c>
      <c r="E4" t="s">
        <v>12</v>
      </c>
    </row>
    <row r="5" spans="1:5" x14ac:dyDescent="0.2">
      <c r="A5" t="s">
        <v>3</v>
      </c>
      <c r="B5">
        <v>0.2</v>
      </c>
      <c r="C5">
        <v>0.2</v>
      </c>
      <c r="D5">
        <v>0.2</v>
      </c>
    </row>
    <row r="6" spans="1:5" x14ac:dyDescent="0.2">
      <c r="A6" t="s">
        <v>4</v>
      </c>
      <c r="B6">
        <v>25</v>
      </c>
      <c r="C6">
        <v>25</v>
      </c>
      <c r="D6">
        <v>25</v>
      </c>
    </row>
    <row r="7" spans="1:5" x14ac:dyDescent="0.2">
      <c r="A7" t="s">
        <v>5</v>
      </c>
      <c r="B7" s="2">
        <f>B5*B6/B4</f>
        <v>1.0638297872340428</v>
      </c>
      <c r="C7" s="2">
        <f t="shared" ref="C7:D7" si="1">C5*C6/C4</f>
        <v>1.4925373134328357</v>
      </c>
      <c r="D7" s="2">
        <f t="shared" si="1"/>
        <v>0.81967213114754101</v>
      </c>
    </row>
    <row r="9" spans="1:5" x14ac:dyDescent="0.2">
      <c r="A9" s="1" t="s">
        <v>6</v>
      </c>
      <c r="B9" s="3">
        <f>B7*1000</f>
        <v>1063.8297872340427</v>
      </c>
      <c r="C9" s="3">
        <f>C7*1000</f>
        <v>1492.5373134328356</v>
      </c>
      <c r="D9" s="3">
        <f>D7*1000</f>
        <v>819.67213114754099</v>
      </c>
    </row>
    <row r="10" spans="1:5" x14ac:dyDescent="0.2">
      <c r="A10" t="s">
        <v>11</v>
      </c>
      <c r="B10">
        <f>IF(B9&gt;1000, B9/2, 0)</f>
        <v>531.91489361702133</v>
      </c>
      <c r="C10">
        <f>IF(C9&gt;1000, C9/2, 0)</f>
        <v>746.26865671641781</v>
      </c>
      <c r="D10">
        <f>IF(D9&gt;1000, D9/2, 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Tzu-Chieh</dc:creator>
  <cp:lastModifiedBy>Tang, Tzu-Chieh</cp:lastModifiedBy>
  <dcterms:created xsi:type="dcterms:W3CDTF">2025-05-05T21:09:13Z</dcterms:created>
  <dcterms:modified xsi:type="dcterms:W3CDTF">2025-05-19T20:56:52Z</dcterms:modified>
</cp:coreProperties>
</file>